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LDA_V2\Data\trend\"/>
    </mc:Choice>
  </mc:AlternateContent>
  <xr:revisionPtr revIDLastSave="0" documentId="8_{DFF33B0D-4A9D-460E-B2CD-251FA4DBACA4}" xr6:coauthVersionLast="47" xr6:coauthVersionMax="47" xr10:uidLastSave="{00000000-0000-0000-0000-000000000000}"/>
  <bookViews>
    <workbookView xWindow="-108" yWindow="-108" windowWidth="23256" windowHeight="12456" xr2:uid="{8CB7AD04-31D0-41CE-BD6A-A37A7EC1FB8B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<sst xmlns="http://schemas.openxmlformats.org/spreadsheetml/2006/main" count="19" uniqueCount="19">
  <si>
    <t>المحافظة</t>
  </si>
  <si>
    <t>معدل البطالة 2022</t>
  </si>
  <si>
    <t>معدل البطالة 2023</t>
  </si>
  <si>
    <t>معدل البطالة 2024</t>
  </si>
  <si>
    <t>معدل البطالة 2025</t>
  </si>
  <si>
    <t>العاصمة</t>
  </si>
  <si>
    <t>البلقاء</t>
  </si>
  <si>
    <t>الزرقاء</t>
  </si>
  <si>
    <t>مأدبا</t>
  </si>
  <si>
    <t>إربد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</si>
  <si>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</si>
  <si>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</si>
  <si>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</si>
  <si>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</si>
  <si>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</si>
  <si>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</si>
  <si>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</si>
  <si>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المملكة</t>
  </si>
  <si>
    <t>21%5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</si>
</sst>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right" vertical="center" wrapText="1" indent="1" readingOrder="2"/>
    </xf>
    <xf numFmtId="0" fontId="2" fillId="0" borderId="1" xfId="0" applyFont="1" applyBorder="1" applyAlignment="1">
      <alignment vertical="center" wrapText="1" readingOrder="2"/>
    </xf>
    <xf numFmtId="10" fontId="2" fillId="0" borderId="1" xfId="0" applyNumberFormat="1" applyFont="1" applyBorder="1" applyAlignment="1">
      <alignment vertical="center" wrapText="1" readingOrder="2"/>
    </xf>
    <xf numFmtId="10" fontId="2" fillId="0" borderId="1" xfId="0" applyNumberFormat="1" applyFont="1" applyBorder="1" applyAlignment="1">
      <alignment horizontal="right" vertical="center" wrapText="1" indent="1" readingOrder="2"/>
    </xf>
    <xf numFmtId="0" fontId="0" fillId="0" borderId="2" xfId="0" applyBorder="1" applyAlignment="1">
      <alignment horizontal="right" wrapText="1"/>
    </xf>
    <xf numFmtId="10" fontId="0" fillId="0" borderId="2" xfId="0" applyNumberFormat="1" applyBorder="1" applyAlignment="1">
      <alignment horizontal="right" wrapText="1"/>
    </xf>
    <xf numFmtId="9" fontId="0" fillId="0" borderId="2" xfId="0" applyNumberFormat="1" applyBorder="1" applyAlignment="1">
      <alignment horizontal="right" wrapText="1"/>
    </xf>
    <xf numFmtId="9" fontId="0" fillId="0" borderId="3" xfId="0" applyNumberFormat="1" applyBorder="1" applyAlignment="1">
      <alignment horizontal="right" wrapText="1"/>
    </xf>
    <xf numFmtId="10" fontId="0" fillId="0" borderId="3" xfId="0" applyNumberFormat="1" applyBorder="1" applyAlignment="1">
      <alignment horizontal="right" wrapText="1"/>
    </xf>
    <xf numFmtId="10" fontId="1" fillId="0" borderId="2" xfId="0" applyNumberFormat="1" applyFont="1" applyBorder="1" applyAlignment="1">
      <alignment horizontal="right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B7C9-05CF-4842-87C3-52CA618DD634}">
  <dimension ref="A1:E14"/>
  <sheetViews>
    <sheetView rightToLeft="1" tabSelected="1" workbookViewId="0">
      <selection activeCell="N17" sqref="N17"/>
    </sheetView>
  </sheetViews>
  <sheetFormatPr defaultRowHeight="14.4" x14ac:dyDescent="0.3"/>
  <cols>
    <col min="2" max="2" width="12.33203125" customWidth="1"/>
    <col min="3" max="3" width="13.109375" customWidth="1"/>
    <col min="4" max="4" width="11.88671875" customWidth="1"/>
  </cols>
  <sheetData>
    <row r="1" spans="1:5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5" thickBot="1" x14ac:dyDescent="0.35">
      <c r="A2" s="1" t="s">
        <v>5</v>
      </c>
      <c r="B2" s="5" t="s">
        <v>18</v>
      </c>
      <c r="C2" s="6">
        <f>20.4/100</f>
        <v>0.20399999999999999</v>
      </c>
      <c r="D2" s="6">
        <f>20.5/100</f>
        <v>0.20499999999999999</v>
      </c>
      <c r="E2" s="8">
        <v>0.1</v>
      </c>
    </row>
    <row r="3" spans="1:5" ht="15" thickBot="1" x14ac:dyDescent="0.35">
      <c r="A3" s="1" t="s">
        <v>6</v>
      </c>
      <c r="B3" s="6">
        <v>0.245</v>
      </c>
      <c r="C3" s="6">
        <f>19.7/100</f>
        <v>0.19699999999999998</v>
      </c>
      <c r="D3" s="6">
        <v>0.20799999999999999</v>
      </c>
      <c r="E3" s="9">
        <v>0.17799999999999999</v>
      </c>
    </row>
    <row r="4" spans="1:5" ht="15" thickBot="1" x14ac:dyDescent="0.35">
      <c r="A4" s="1" t="s">
        <v>7</v>
      </c>
      <c r="B4" s="6">
        <v>0.23499999999999999</v>
      </c>
      <c r="C4" s="6">
        <f>20.6/100</f>
        <v>0.20600000000000002</v>
      </c>
      <c r="D4" s="6">
        <v>0.21199999999999999</v>
      </c>
      <c r="E4" s="9">
        <v>0.23400000000000001</v>
      </c>
    </row>
    <row r="5" spans="1:5" ht="15" thickBot="1" x14ac:dyDescent="0.35">
      <c r="A5" s="1" t="s">
        <v>8</v>
      </c>
      <c r="B5" s="6">
        <v>0.23400000000000001</v>
      </c>
      <c r="C5" s="6">
        <f>23.4/100</f>
        <v>0.23399999999999999</v>
      </c>
      <c r="D5" s="6">
        <v>0.219</v>
      </c>
      <c r="E5" s="9">
        <v>0.17499999999999999</v>
      </c>
    </row>
    <row r="6" spans="1:5" ht="15" thickBot="1" x14ac:dyDescent="0.35">
      <c r="A6" s="1" t="s">
        <v>9</v>
      </c>
      <c r="B6" s="6">
        <v>0.248</v>
      </c>
      <c r="C6" s="6">
        <f>23.9/100</f>
        <v>0.23899999999999999</v>
      </c>
      <c r="D6" s="6">
        <v>0.22600000000000001</v>
      </c>
      <c r="E6" s="9">
        <v>0.245</v>
      </c>
    </row>
    <row r="7" spans="1:5" ht="15" thickBot="1" x14ac:dyDescent="0.35">
      <c r="A7" s="1" t="s">
        <v>10</v>
      </c>
      <c r="B7" s="7">
        <v>0.27</v>
      </c>
      <c r="C7" s="6">
        <f>24.8/100</f>
        <v>0.248</v>
      </c>
      <c r="D7" s="6">
        <v>0.221</v>
      </c>
      <c r="E7" s="9">
        <v>0.28599999999999998</v>
      </c>
    </row>
    <row r="8" spans="1:5" ht="15" thickBot="1" x14ac:dyDescent="0.35">
      <c r="A8" s="1" t="s">
        <v>11</v>
      </c>
      <c r="B8" s="6">
        <v>0.23300000000000001</v>
      </c>
      <c r="C8" s="6">
        <f>20.6/100</f>
        <v>0.20600000000000002</v>
      </c>
      <c r="D8" s="6">
        <v>0.20200000000000001</v>
      </c>
      <c r="E8" s="8">
        <v>0.25</v>
      </c>
    </row>
    <row r="9" spans="1:5" ht="15" thickBot="1" x14ac:dyDescent="0.35">
      <c r="A9" s="1" t="s">
        <v>12</v>
      </c>
      <c r="B9" s="6">
        <v>0.21199999999999999</v>
      </c>
      <c r="C9" s="6">
        <f>23.4/100</f>
        <v>0.23399999999999999</v>
      </c>
      <c r="D9" s="6">
        <v>0.223</v>
      </c>
      <c r="E9" s="8">
        <v>0.28000000000000003</v>
      </c>
    </row>
    <row r="10" spans="1:5" ht="15" thickBot="1" x14ac:dyDescent="0.35">
      <c r="A10" s="1" t="s">
        <v>13</v>
      </c>
      <c r="B10" s="6">
        <v>0.22600000000000001</v>
      </c>
      <c r="C10" s="6">
        <f>19.4/100</f>
        <v>0.19399999999999998</v>
      </c>
      <c r="D10" s="6">
        <v>0.218</v>
      </c>
      <c r="E10" s="8">
        <v>0.18</v>
      </c>
    </row>
    <row r="11" spans="1:5" ht="15" thickBot="1" x14ac:dyDescent="0.35">
      <c r="A11" s="1" t="s">
        <v>14</v>
      </c>
      <c r="B11" s="7">
        <v>0.25</v>
      </c>
      <c r="C11" s="6">
        <f>22.3/100</f>
        <v>0.223</v>
      </c>
      <c r="D11" s="6">
        <v>0.215</v>
      </c>
      <c r="E11" s="9">
        <v>0.182</v>
      </c>
    </row>
    <row r="12" spans="1:5" ht="15" thickBot="1" x14ac:dyDescent="0.35">
      <c r="A12" s="1" t="s">
        <v>15</v>
      </c>
      <c r="B12" s="6">
        <v>0.222</v>
      </c>
      <c r="C12" s="6">
        <f>20.4/100</f>
        <v>0.20399999999999999</v>
      </c>
      <c r="D12" s="7">
        <v>0.28000000000000003</v>
      </c>
      <c r="E12" s="9">
        <v>0.20699999999999999</v>
      </c>
    </row>
    <row r="13" spans="1:5" ht="15" thickBot="1" x14ac:dyDescent="0.35">
      <c r="A13" s="1" t="s">
        <v>16</v>
      </c>
      <c r="B13" s="6">
        <v>0.23699999999999999</v>
      </c>
      <c r="C13" s="6">
        <f>17.7/100</f>
        <v>0.17699999999999999</v>
      </c>
      <c r="D13" s="6">
        <v>0.161</v>
      </c>
      <c r="E13" s="9">
        <v>6.7000000000000004E-2</v>
      </c>
    </row>
    <row r="14" spans="1:5" ht="15" thickBot="1" x14ac:dyDescent="0.35">
      <c r="A14" s="1" t="s">
        <v>17</v>
      </c>
      <c r="B14" s="4">
        <v>0.22900000000000001</v>
      </c>
      <c r="C14" s="10">
        <f>21.4/100</f>
        <v>0.214</v>
      </c>
      <c r="D14" s="10">
        <v>0.21299999999999999</v>
      </c>
      <c r="E14" s="3">
        <v>0.161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Mafraq</dc:creator>
  <cp:lastModifiedBy>Mafraq</cp:lastModifiedBy>
  <dcterms:created xsi:type="dcterms:W3CDTF">2026-04-26T17:56:01Z</dcterms:created>
  <dcterms:modified xsi:type="dcterms:W3CDTF">2026-05-05T09:21:54Z</dcterms:modified>
</cp:coreProperties>
</file>